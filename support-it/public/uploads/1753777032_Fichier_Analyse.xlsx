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u ne me garde que les colo (2)" sheetId="1" state="visible" r:id="rId3"/>
    <sheet name="tu ne me garde que les colo (3)" sheetId="2" state="visible" r:id="rId4"/>
    <sheet name="tu ne me garde que les colo (4)" sheetId="3" state="visible" r:id="rId5"/>
    <sheet name="tu ne me garde que les colon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<sst xmlns="http://schemas.openxmlformats.org/spreadsheetml/2006/main" count="256" uniqueCount="79">
  <si>
    <t xml:space="preserve">Entreprise : Apple France</t>
  </si>
  <si>
    <r>
      <rPr>
        <sz val="20"/>
        <color rgb="FF000000"/>
        <rFont val="Arial"/>
        <family val="2"/>
        <charset val="1"/>
      </rPr>
      <t xml:space="preserve">Apple France
</t>
    </r>
  </si>
  <si>
    <t xml:space="preserve">Question</t>
  </si>
  <si>
    <t xml:space="preserve">Indice/Critère d'évaluation</t>
  </si>
  <si>
    <t xml:space="preserve">Où trouver</t>
  </si>
  <si>
    <t xml:space="preserve">Réponse</t>
  </si>
  <si>
    <t xml:space="preserve">Score de Risque (Calculé)</t>
  </si>
  <si>
    <t xml:space="preserve">Justification</t>
  </si>
  <si>
    <t xml:space="preserve">L'entreprise est-elle légalement enregistrée ?</t>
  </si>
  <si>
    <t xml:space="preserve">Le numéro RCS  existe ?</t>
  </si>
  <si>
    <t xml:space="preserve">RCS</t>
  </si>
  <si>
    <t xml:space="preserve">oui</t>
  </si>
  <si>
    <t xml:space="preserve">Immatriculée au RCS Paris, n° 322 120 916</t>
  </si>
  <si>
    <t xml:space="preserve">Quelle est la structure juridique de l'entreprise ?</t>
  </si>
  <si>
    <r>
      <rPr>
        <sz val="9"/>
        <color rgb="FF000000"/>
        <rFont val="Google Sans Mono"/>
        <family val="0"/>
        <charset val="1"/>
      </rPr>
      <t xml:space="preserve">SAS : </t>
    </r>
    <r>
      <rPr>
        <sz val="9"/>
        <color rgb="FF1155CC"/>
        <rFont val="Google Sans Mono"/>
        <family val="0"/>
        <charset val="1"/>
      </rPr>
      <t xml:space="preserve">0
</t>
    </r>
    <r>
      <rPr>
        <sz val="9"/>
        <color rgb="FF000000"/>
        <rFont val="Google Sans Mono"/>
        <family val="0"/>
        <charset val="1"/>
      </rPr>
      <t xml:space="preserve">SA : 1
SASU : 1
SARL : 2
EURL : 3
EI (Micro-entreprise) : 4
EI : 4
SCA (commanditaires) : 1
SCA (commandités) : 4
SCS (commanditaires) : 3
SCS (commandités) : 4
SNC : 4</t>
    </r>
  </si>
  <si>
    <t xml:space="preserve">SAS</t>
  </si>
  <si>
    <t xml:space="preserve">Forme : Société à responsabilité limitée (associé unique)</t>
  </si>
  <si>
    <t xml:space="preserve">Quel est le capital social de l'entreprise ?</t>
  </si>
  <si>
    <t xml:space="preserve">Moins de 10 000 € : Niveau de Risque 6
De 10 000 € à 50 000 € : Niveau de Risque 4
De 50 001 € à 200 000 € : Niveau de Risque 3
De 200 001 € à 500 000 € : Niveau de Risque 2
Plus de 500 000 € : Niveau de Risque 1</t>
  </si>
  <si>
    <t xml:space="preserve">Capital mentionné dans le Kbis</t>
  </si>
  <si>
    <t xml:space="preserve">L’adresse du siège social est-elle stable depuis plusieurs années ?</t>
  </si>
  <si>
    <t xml:space="preserve">Adresse stable depuis plus de 5 ans : Niveau de Risque 0 
Adresse stable entre 3 et 5 ans : Niveau de Risque 2
Adresse stable entre 1 et 3 ans : Niveau de Risque 4
Adresse stable depuis moins de 1 an : Niveau de Risque 6
</t>
  </si>
  <si>
    <t xml:space="preserve">plus de 5 ans</t>
  </si>
  <si>
    <t xml:space="preserve">Aucune mention de changement récent</t>
  </si>
  <si>
    <t xml:space="preserve">L'entreprise est-elle immatriculée depuis plus de 3 ans ?</t>
  </si>
  <si>
    <t xml:space="preserve">Moins de 3 ans : 3 points; Entre 3 et 5 ans : 2 points; Plus de 5 ans : 1 point</t>
  </si>
  <si>
    <t xml:space="preserve">Immatriculée depuis 2008 (origine 1982)</t>
  </si>
  <si>
    <t xml:space="preserve">L'entreprise a-t-elle un commissaire aux comptes en place et est-elle soumise à des audits réguliers ?</t>
  </si>
  <si>
    <t xml:space="preserve">: "Oui" si un commissaire aux comptes est mentionné / "Non" si il n'y a pas de commisaires au comptes donc peut etre des soucis financier </t>
  </si>
  <si>
    <t xml:space="preserve">rcs</t>
  </si>
  <si>
    <t xml:space="preserve">ERNST &amp; YOUNG listé comme CAC</t>
  </si>
  <si>
    <t xml:space="preserve">L'entreprise possède t'elle plusieurs etablissement ? </t>
  </si>
  <si>
    <t xml:space="preserve">SI "Oui" petite entreprise niveau de risque 3 / moyenne entreprise =2pts /grande entreprise =0pts</t>
  </si>
  <si>
    <t xml:space="preserve">Un seul établissement indiqué</t>
  </si>
  <si>
    <t xml:space="preserve">La durée de vie de la personne moral (entreprise) est elle longue ? </t>
  </si>
  <si>
    <t xml:space="preserve">Non = durée de vie -10 ans risques 5pts / "oui" = durée de vie &gt; 10ans =0pts </t>
  </si>
  <si>
    <t xml:space="preserve">Durée jusqu’au 16/07/2080</t>
  </si>
  <si>
    <t xml:space="preserve">La date de début d’activité est-elle proche de la date d’immatriculation ?</t>
  </si>
  <si>
    <t xml:space="preserve"> 1 pts si -1ans / 2pts si 2 ans /3 pts si 3ans après</t>
  </si>
  <si>
    <t xml:space="preserve">non</t>
  </si>
  <si>
    <t xml:space="preserve">Activité : 01/12/1981 / Immat. origine : 21/01/1982</t>
  </si>
  <si>
    <t xml:space="preserve">La nationalité des dirigeants est-elle étrangère ? </t>
  </si>
  <si>
    <t xml:space="preserve">Oui = 1 pts /Non =0pts </t>
  </si>
  <si>
    <t xml:space="preserve">	Irlandais et Américain</t>
  </si>
  <si>
    <t xml:space="preserve">Les dirigeants ont-ils une adresse personnelle hors de France ? </t>
  </si>
  <si>
    <t xml:space="preserve">Oui =1pts/Non = 0pts</t>
  </si>
  <si>
    <t xml:space="preserve">Irlande et États-Unis</t>
  </si>
  <si>
    <t xml:space="preserve">Low (Faible) : 2 à 10</t>
  </si>
  <si>
    <t xml:space="preserve">Medium-low (Moyen) : 19 à 24</t>
  </si>
  <si>
    <t xml:space="preserve">Medium (Moyen) : 19 à 24</t>
  </si>
  <si>
    <t xml:space="preserve">High (Élevé) : 25 à 30</t>
  </si>
  <si>
    <t xml:space="preserve">Critique :30+</t>
  </si>
  <si>
    <t xml:space="preserve">Entreprise : Capgemini</t>
  </si>
  <si>
    <r>
      <rPr>
        <sz val="20"/>
        <color rgb="FF000000"/>
        <rFont val="Arial"/>
        <family val="2"/>
        <charset val="1"/>
      </rPr>
      <t xml:space="preserve">Google France
</t>
    </r>
  </si>
  <si>
    <t xml:space="preserve">justification</t>
  </si>
  <si>
    <t xml:space="preserve">Entreprise enregistrée au RCS Nanterre.</t>
  </si>
  <si>
    <t xml:space="preserve">SARL</t>
  </si>
  <si>
    <t xml:space="preserve">Forme : Société à Responsabilité Limitée (plusieurs associés)</t>
  </si>
  <si>
    <t xml:space="preserve">Adresse stable.</t>
  </si>
  <si>
    <t xml:space="preserve">Immatriculée en 2004.</t>
  </si>
  <si>
    <t xml:space="preserve">Mazars et PwC comme commissaires.</t>
  </si>
  <si>
    <t xml:space="preserve">Établissements multiples.</t>
  </si>
  <si>
    <t xml:space="preserve">Durée jusqu’en 2103.</t>
  </si>
  <si>
    <t xml:space="preserve">Activité commencée en 2019.</t>
  </si>
  <si>
    <t xml:space="preserve">Un DG est allemand.</t>
  </si>
  <si>
    <t xml:space="preserve">Tous les DG vivent en France.</t>
  </si>
  <si>
    <t xml:space="preserve">Entreprise : orange</t>
  </si>
  <si>
    <t xml:space="preserve">SA</t>
  </si>
  <si>
    <t xml:space="preserve">Entreprise : forages</t>
  </si>
  <si>
    <t xml:space="preserve">RCS Salon de Provence</t>
  </si>
  <si>
    <t xml:space="preserve">Forme: Société à Responsabilité Limitée (plusieurs associés)</t>
  </si>
  <si>
    <t xml:space="preserve">Adresse stable avant dissolution.</t>
  </si>
  <si>
    <t xml:space="preserve">Créée en 2005.</t>
  </si>
  <si>
    <t xml:space="preserve">Aucun commissaire mentionné.</t>
  </si>
  <si>
    <t xml:space="preserve">Un seul établissement.</t>
  </si>
  <si>
    <t xml:space="preserve">Durée prévue jusqu’en 2104.</t>
  </si>
  <si>
    <t xml:space="preserve">Début activité en 2005.</t>
  </si>
  <si>
    <t xml:space="preserve">Dirigeant français.</t>
  </si>
  <si>
    <t xml:space="preserve">Domicilié en France.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</si>
</sst>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.00"/>
    <numFmt numFmtId="167" formatCode="#,##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2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9"/>
      <color rgb="FF000000"/>
      <name val="Google Sans Mono"/>
      <family val="0"/>
      <charset val="1"/>
    </font>
    <font>
      <sz val="9"/>
      <color rgb="FF1155CC"/>
      <name val="Google Sans Mono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7" tint="0.5999"/>
        <bgColor rgb="FF7AD693"/>
      </patternFill>
    </fill>
    <fill>
      <patternFill patternType="solid">
        <fgColor theme="7" tint="0.3999"/>
        <bgColor rgb="FFA6E4B7"/>
      </patternFill>
    </fill>
    <fill>
      <patternFill patternType="solid">
        <fgColor theme="6" tint="0.7999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FFFFFF"/>
        <bgColor rgb="FFFEF2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EF2CD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6E4B7"/>
      <rgbColor rgb="FFFFFF99"/>
      <rgbColor rgb="FF7AD693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F5" activeCellId="0" sqref="F5"/>
    </sheetView>
  </sheetViews>
  <sheetFormatPr defaultColWidth="12.5625" defaultRowHeight="15.75" zeroHeight="false" outlineLevelRow="0" outlineLevelCol="0"/>
  <cols>
    <col collapsed="false" customWidth="true" hidden="false" outlineLevel="0" max="1" min="1" style="0" width="92.11"/>
    <col collapsed="false" customWidth="true" hidden="false" outlineLevel="0" max="2" min="2" style="0" width="255.78"/>
    <col collapsed="false" customWidth="true" hidden="false" outlineLevel="0" max="3" min="3" style="0" width="15.44"/>
    <col collapsed="false" customWidth="true" hidden="false" outlineLevel="0" max="4" min="4" style="0" width="11.77"/>
    <col collapsed="false" customWidth="true" hidden="false" outlineLevel="0" max="5" min="5" style="0" width="22.88"/>
    <col collapsed="false" customWidth="true" hidden="false" outlineLevel="0" max="6" min="6" style="0" width="48.78"/>
    <col collapsed="false" customWidth="true" hidden="false" outlineLevel="0" max="9" min="9" style="0" width="29.78"/>
    <col collapsed="false" customWidth="true" hidden="false" outlineLevel="0" max="10" min="10" style="0" width="25.88"/>
    <col collapsed="false" customWidth="true" hidden="false" outlineLevel="0" max="14" min="14" style="0" width="27.34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B2" s="2" t="s">
        <v>1</v>
      </c>
    </row>
    <row r="3" customFormat="false" ht="15.7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</row>
    <row r="4" customFormat="false" ht="15.75" hidden="false" customHeight="false" outlineLevel="0" collapsed="false">
      <c r="A4" s="4" t="s">
        <v>8</v>
      </c>
      <c r="B4" s="4" t="s">
        <v>9</v>
      </c>
      <c r="C4" s="3" t="s">
        <v>10</v>
      </c>
      <c r="D4" s="3" t="s">
        <v>11</v>
      </c>
      <c r="E4" s="5" t="n">
        <f aca="false">IF(D4="Oui",0,IF(D4="Non",30,0))</f>
        <v>0</v>
      </c>
      <c r="F4" s="6" t="s">
        <v>12</v>
      </c>
    </row>
    <row r="5" customFormat="false" ht="110" hidden="false" customHeight="false" outlineLevel="0" collapsed="false">
      <c r="A5" s="4" t="s">
        <v>13</v>
      </c>
      <c r="B5" s="7" t="s">
        <v>14</v>
      </c>
      <c r="C5" s="3" t="s">
        <v>10</v>
      </c>
      <c r="D5" s="3" t="s">
        <v>15</v>
      </c>
      <c r="E5" s="5" t="n">
        <f aca="false">IF(D5="SAS", 0,
IF(D5="SA", 1,
IF(D5="SASU", 1,
IF(D5="SARL", 2,
IF(D5="EURL", 3,
IF(D5="EI (Micro-entreprise)", 4,
IF(D5="EI", 4,
IF(D5="SCA (commanditaires)", 1,
IF(D5="SCA (commandités)", 4,
IF(D5="SCS (commanditaires)", 3,
IF(D5="SCS (commandités)", 4,
IF(D5="SNC", 4, 0))))))))))))</f>
        <v>0</v>
      </c>
      <c r="F5" s="6" t="s">
        <v>16</v>
      </c>
    </row>
    <row r="6" customFormat="false" ht="57" hidden="false" customHeight="false" outlineLevel="0" collapsed="false">
      <c r="A6" s="4" t="s">
        <v>17</v>
      </c>
      <c r="B6" s="8" t="s">
        <v>18</v>
      </c>
      <c r="C6" s="3" t="s">
        <v>10</v>
      </c>
      <c r="D6" s="3" t="n">
        <v>3048980.34</v>
      </c>
      <c r="E6" s="4" t="n">
        <f aca="false">IFERROR(
    IF(D6&lt;10000, 4,
    IF(D6&lt;=50000, 3,
    IF(D6&lt;=200000, 2,
    IF(D6&lt;=500000, 1, 0)))), 0)</f>
        <v>0</v>
      </c>
      <c r="F6" s="6" t="s">
        <v>19</v>
      </c>
    </row>
    <row r="7" customFormat="false" ht="68" hidden="false" customHeight="false" outlineLevel="0" collapsed="false">
      <c r="A7" s="4" t="s">
        <v>20</v>
      </c>
      <c r="B7" s="8" t="s">
        <v>21</v>
      </c>
      <c r="C7" s="3" t="s">
        <v>10</v>
      </c>
      <c r="D7" s="3" t="s">
        <v>22</v>
      </c>
      <c r="E7" s="8" t="n">
        <f aca="false">IF(D7="plus de 5 ans", 0,
IF(D7="entre 3 et 5 ans", 2,
IF(D7="entre 1 et 3 ans", 4,
IF(D7="moins de 1 an", 6,
IF(D7="domiciliation récente", 4, 0)))))</f>
        <v>0</v>
      </c>
      <c r="F7" s="6" t="s">
        <v>23</v>
      </c>
    </row>
    <row r="8" s="10" customFormat="true" ht="15.75" hidden="false" customHeight="false" outlineLevel="0" collapsed="false">
      <c r="A8" s="9" t="s">
        <v>24</v>
      </c>
      <c r="B8" s="10" t="s">
        <v>25</v>
      </c>
      <c r="C8" s="11" t="s">
        <v>10</v>
      </c>
      <c r="D8" s="11" t="s">
        <v>22</v>
      </c>
      <c r="E8" s="12" t="n">
        <f aca="false">IF(D8="plus de 5 ans", 0,
IF(D8="entre 3 et 5 ans", 2,
IF(D8="entre 1 et 3 ans", 4,
IF(D8="moins de 1 an", 6,
IF(D8="domiciliation récente", 4, 0)))))</f>
        <v>0</v>
      </c>
      <c r="F8" s="10" t="s">
        <v>26</v>
      </c>
    </row>
    <row r="9" s="10" customFormat="true" ht="15.75" hidden="false" customHeight="true" outlineLevel="0" collapsed="false">
      <c r="A9" s="9" t="s">
        <v>27</v>
      </c>
      <c r="B9" s="13" t="s">
        <v>28</v>
      </c>
      <c r="C9" s="11" t="s">
        <v>29</v>
      </c>
      <c r="D9" s="11" t="s">
        <v>11</v>
      </c>
      <c r="E9" s="10" t="n">
        <f aca="false">IF(D9="Oui", 1, IF(D9="Non", 30, 0))</f>
        <v>1</v>
      </c>
      <c r="F9" s="10" t="s">
        <v>30</v>
      </c>
    </row>
    <row r="10" s="10" customFormat="true" ht="15.75" hidden="false" customHeight="false" outlineLevel="0" collapsed="false">
      <c r="A10" s="9" t="s">
        <v>31</v>
      </c>
      <c r="B10" s="14" t="s">
        <v>32</v>
      </c>
      <c r="C10" s="11" t="s">
        <v>10</v>
      </c>
      <c r="D10" s="11" t="s">
        <v>11</v>
      </c>
      <c r="E10" s="13" t="n">
        <f aca="false">IF(D10="Oui",
    IF(OR(D5="EURL", D5="EI", D5="SCS", D5="SNC"), 3,
    IF(OR(D5="SARL", D5="SASU", D5="SAS", D5="SCA"), 2,
    IF(D5="SA", 0, 0))),
IF(D10="Non", 30, 0))</f>
        <v>2</v>
      </c>
      <c r="F10" s="15" t="s">
        <v>33</v>
      </c>
    </row>
    <row r="11" s="10" customFormat="true" ht="15.75" hidden="false" customHeight="true" outlineLevel="0" collapsed="false">
      <c r="A11" s="9" t="s">
        <v>34</v>
      </c>
      <c r="B11" s="10" t="s">
        <v>35</v>
      </c>
      <c r="C11" s="11" t="s">
        <v>10</v>
      </c>
      <c r="D11" s="11" t="s">
        <v>11</v>
      </c>
      <c r="E11" s="10" t="n">
        <f aca="false">IF(D11="Oui", 0, IF(D11="Non", 5, 0))</f>
        <v>0</v>
      </c>
      <c r="F11" s="10" t="s">
        <v>36</v>
      </c>
    </row>
    <row r="12" s="10" customFormat="true" ht="15.75" hidden="false" customHeight="false" outlineLevel="0" collapsed="false">
      <c r="A12" s="10" t="s">
        <v>37</v>
      </c>
      <c r="B12" s="10" t="s">
        <v>38</v>
      </c>
      <c r="C12" s="11" t="s">
        <v>10</v>
      </c>
      <c r="D12" s="11" t="s">
        <v>39</v>
      </c>
      <c r="E12" s="14" t="n">
        <f aca="false">IF(D12="3 ans", 3,
IF(D12="moins de 1 an", 0,
IF(D12="2 ans", 2, 0)))</f>
        <v>0</v>
      </c>
      <c r="F12" s="10" t="s">
        <v>40</v>
      </c>
    </row>
    <row r="13" s="10" customFormat="true" ht="15.75" hidden="false" customHeight="true" outlineLevel="0" collapsed="false">
      <c r="A13" s="9" t="s">
        <v>41</v>
      </c>
      <c r="B13" s="10" t="s">
        <v>42</v>
      </c>
      <c r="C13" s="11" t="s">
        <v>10</v>
      </c>
      <c r="D13" s="11" t="s">
        <v>11</v>
      </c>
      <c r="E13" s="10" t="n">
        <f aca="false">IF(D13="Oui", 1, IF(D13="Non", 0, 0))</f>
        <v>1</v>
      </c>
      <c r="F13" s="10" t="s">
        <v>43</v>
      </c>
    </row>
    <row r="14" s="10" customFormat="true" ht="15" hidden="false" customHeight="true" outlineLevel="0" collapsed="false">
      <c r="A14" s="14" t="s">
        <v>44</v>
      </c>
      <c r="B14" s="10" t="s">
        <v>45</v>
      </c>
      <c r="C14" s="11" t="s">
        <v>10</v>
      </c>
      <c r="D14" s="11" t="s">
        <v>11</v>
      </c>
      <c r="E14" s="10" t="n">
        <f aca="false">IF(D13="Oui", 1, IF(D13="Non", 0, 0))</f>
        <v>1</v>
      </c>
      <c r="F14" s="10" t="s">
        <v>46</v>
      </c>
    </row>
    <row r="17" customFormat="false" ht="15.75" hidden="false" customHeight="false" outlineLevel="0" collapsed="false">
      <c r="A17" s="4"/>
      <c r="B17" s="3"/>
      <c r="C17" s="3"/>
      <c r="D17" s="8"/>
    </row>
    <row r="18" customFormat="false" ht="15.75" hidden="false" customHeight="true" outlineLevel="0" collapsed="false">
      <c r="A18" s="7"/>
      <c r="B18" s="3"/>
      <c r="C18" s="3"/>
      <c r="D18" s="8"/>
      <c r="G18" s="4" t="n">
        <f aca="false">SUM(E5:E14)</f>
        <v>5</v>
      </c>
      <c r="H18" s="4" t="str">
        <f aca="false">IF(G18&lt;=0, "Non défini",
   IF(G18&lt;=10, "Low",
   IF(G18&lt;=18, "Medium-Low",
   IF(G18&lt;=24, "Medium",
   IF(G18&lt;=30, "High", "Critique")))))</f>
        <v>Low</v>
      </c>
    </row>
    <row r="19" customFormat="false" ht="15.75" hidden="false" customHeight="true" outlineLevel="0" collapsed="false">
      <c r="A19" s="8"/>
      <c r="B19" s="3"/>
      <c r="C19" s="16"/>
      <c r="D19" s="4"/>
    </row>
    <row r="20" customFormat="false" ht="15.75" hidden="false" customHeight="true" outlineLevel="0" collapsed="false">
      <c r="A20" s="8"/>
      <c r="B20" s="3"/>
      <c r="C20" s="3"/>
      <c r="D20" s="8"/>
      <c r="I20" s="17" t="s">
        <v>47</v>
      </c>
    </row>
    <row r="21" customFormat="false" ht="15.75" hidden="false" customHeight="true" outlineLevel="0" collapsed="false">
      <c r="I21" s="18" t="s">
        <v>48</v>
      </c>
    </row>
    <row r="22" customFormat="false" ht="15.75" hidden="false" customHeight="true" outlineLevel="0" collapsed="false">
      <c r="I22" s="19" t="s">
        <v>49</v>
      </c>
    </row>
    <row r="23" customFormat="false" ht="15.75" hidden="false" customHeight="true" outlineLevel="0" collapsed="false">
      <c r="I23" s="20" t="s">
        <v>50</v>
      </c>
    </row>
    <row r="24" customFormat="false" ht="15.75" hidden="false" customHeight="true" outlineLevel="0" collapsed="false">
      <c r="I24" s="21" t="s">
        <v>51</v>
      </c>
    </row>
    <row r="29" customFormat="false" ht="15.75" hidden="false" customHeight="true" outlineLevel="0" collapsed="false">
      <c r="H29" s="3"/>
      <c r="I29" s="4"/>
    </row>
    <row r="30" customFormat="false" ht="12.75" hidden="false" customHeight="false" outlineLevel="0" collapsed="false">
      <c r="A30" s="4"/>
      <c r="B30" s="4"/>
      <c r="C30" s="3"/>
      <c r="D30" s="3"/>
      <c r="E30" s="8"/>
    </row>
    <row r="31" customFormat="false" ht="15.75" hidden="false" customHeight="true" outlineLevel="0" collapsed="false">
      <c r="A31" s="4"/>
      <c r="B31" s="7"/>
      <c r="C31" s="3"/>
      <c r="D31" s="3"/>
      <c r="E31" s="8"/>
    </row>
  </sheetData>
  <mergeCells count="1">
    <mergeCell ref="A1:E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F6" activeCellId="0" sqref="F6"/>
    </sheetView>
  </sheetViews>
  <sheetFormatPr defaultColWidth="12.5625" defaultRowHeight="15.75" zeroHeight="false" outlineLevelRow="0" outlineLevelCol="0"/>
  <cols>
    <col collapsed="false" customWidth="true" hidden="false" outlineLevel="0" max="1" min="1" style="0" width="92.11"/>
    <col collapsed="false" customWidth="true" hidden="false" outlineLevel="0" max="2" min="2" style="0" width="255.78"/>
    <col collapsed="false" customWidth="true" hidden="false" outlineLevel="0" max="3" min="3" style="0" width="15.44"/>
    <col collapsed="false" customWidth="true" hidden="false" outlineLevel="0" max="4" min="4" style="0" width="25"/>
    <col collapsed="false" customWidth="true" hidden="false" outlineLevel="0" max="5" min="5" style="0" width="23.33"/>
    <col collapsed="false" customWidth="true" hidden="false" outlineLevel="0" max="6" min="6" style="0" width="14.11"/>
    <col collapsed="false" customWidth="true" hidden="false" outlineLevel="0" max="9" min="9" style="0" width="29.78"/>
    <col collapsed="false" customWidth="true" hidden="false" outlineLevel="0" max="10" min="10" style="0" width="25.88"/>
    <col collapsed="false" customWidth="true" hidden="false" outlineLevel="0" max="14" min="14" style="0" width="27.34"/>
  </cols>
  <sheetData>
    <row r="1" customFormat="false" ht="15.75" hidden="false" customHeight="true" outlineLevel="0" collapsed="false">
      <c r="A1" s="1" t="s">
        <v>52</v>
      </c>
      <c r="B1" s="1"/>
      <c r="C1" s="1"/>
      <c r="D1" s="1"/>
      <c r="E1" s="1"/>
    </row>
    <row r="2" customFormat="false" ht="15.75" hidden="false" customHeight="true" outlineLevel="0" collapsed="false">
      <c r="B2" s="2" t="s">
        <v>53</v>
      </c>
    </row>
    <row r="3" customFormat="false" ht="15.7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54</v>
      </c>
    </row>
    <row r="4" customFormat="false" ht="15.75" hidden="false" customHeight="false" outlineLevel="0" collapsed="false">
      <c r="A4" s="4" t="s">
        <v>8</v>
      </c>
      <c r="B4" s="4" t="s">
        <v>9</v>
      </c>
      <c r="C4" s="3" t="s">
        <v>10</v>
      </c>
      <c r="D4" s="3" t="s">
        <v>11</v>
      </c>
      <c r="E4" s="8" t="n">
        <f aca="false">IF(D4="Oui",0,IF(D4="Non",30,0))</f>
        <v>0</v>
      </c>
      <c r="F4" s="6" t="s">
        <v>55</v>
      </c>
    </row>
    <row r="5" customFormat="false" ht="110" hidden="false" customHeight="false" outlineLevel="0" collapsed="false">
      <c r="A5" s="4" t="s">
        <v>13</v>
      </c>
      <c r="B5" s="7" t="s">
        <v>14</v>
      </c>
      <c r="C5" s="3" t="s">
        <v>10</v>
      </c>
      <c r="D5" s="3" t="s">
        <v>56</v>
      </c>
      <c r="E5" s="8" t="n">
        <f aca="false">IF(D5="SAS", 0,
IF(D5="SA", 1,
IF(D5="SASU", 1,
IF(D5="SARL", 2,
IF(D5="EURL", 3,
IF(D5="EI (Micro-entreprise)", 4,
IF(D5="EI", 4,
IF(D5="SCA (commanditaires)", 1,
IF(D5="SCA (commandités)", 4,
IF(D5="SCS (commanditaires)", 3,
IF(D5="SCS (commandités)", 4,
IF(D5="SNC", 4, 0))))))))))))</f>
        <v>2</v>
      </c>
      <c r="F5" s="6" t="s">
        <v>57</v>
      </c>
    </row>
    <row r="6" customFormat="false" ht="57" hidden="false" customHeight="false" outlineLevel="0" collapsed="false">
      <c r="A6" s="4" t="s">
        <v>17</v>
      </c>
      <c r="B6" s="8" t="s">
        <v>18</v>
      </c>
      <c r="C6" s="3" t="s">
        <v>10</v>
      </c>
      <c r="D6" s="3" t="n">
        <v>1000000</v>
      </c>
      <c r="E6" s="4" t="n">
        <f aca="false">IFERROR(
    IF(D6&lt;10000, 4,
    IF(D6&lt;=50000, 3,
    IF(D6&lt;=200000, 2,
    IF(D6&lt;=500000, 1, 0)))), 0)</f>
        <v>0</v>
      </c>
      <c r="F6" s="6" t="s">
        <v>19</v>
      </c>
    </row>
    <row r="7" customFormat="false" ht="68" hidden="false" customHeight="false" outlineLevel="0" collapsed="false">
      <c r="A7" s="4" t="s">
        <v>20</v>
      </c>
      <c r="B7" s="8" t="s">
        <v>21</v>
      </c>
      <c r="C7" s="3" t="s">
        <v>10</v>
      </c>
      <c r="D7" s="3" t="s">
        <v>22</v>
      </c>
      <c r="E7" s="8" t="n">
        <f aca="false">IF(D7="plus de 5 ans", 0,
IF(D7="entre 3 et 5 ans", 2,
IF(D7="entre 1 et 3 ans", 4,
IF(D7="moins de 1 an", 6,
IF(D7="domiciliation récente", 4, 0)))))</f>
        <v>0</v>
      </c>
      <c r="F7" s="6" t="s">
        <v>58</v>
      </c>
    </row>
    <row r="8" s="10" customFormat="true" ht="15.75" hidden="false" customHeight="false" outlineLevel="0" collapsed="false">
      <c r="A8" s="9" t="s">
        <v>24</v>
      </c>
      <c r="B8" s="10" t="s">
        <v>25</v>
      </c>
      <c r="C8" s="11" t="s">
        <v>10</v>
      </c>
      <c r="D8" s="11" t="s">
        <v>22</v>
      </c>
      <c r="E8" s="14" t="n">
        <f aca="false">IF(D8="plus de 5 ans", 0,
IF(D8="entre 3 et 5 ans", 2,
IF(D8="entre 1 et 3 ans", 4,
IF(D8="moins de 1 an", 6,
IF(D8="domiciliation récente", 4, 0)))))</f>
        <v>0</v>
      </c>
      <c r="F8" s="10" t="s">
        <v>59</v>
      </c>
    </row>
    <row r="9" s="10" customFormat="true" ht="15.75" hidden="false" customHeight="true" outlineLevel="0" collapsed="false">
      <c r="A9" s="9" t="s">
        <v>27</v>
      </c>
      <c r="B9" s="13" t="s">
        <v>28</v>
      </c>
      <c r="C9" s="11" t="s">
        <v>29</v>
      </c>
      <c r="D9" s="11" t="s">
        <v>11</v>
      </c>
      <c r="E9" s="10" t="n">
        <f aca="false">IF(D9="Oui", 1, IF(D9="Non", 30, 0))</f>
        <v>1</v>
      </c>
      <c r="F9" s="10" t="s">
        <v>60</v>
      </c>
    </row>
    <row r="10" s="10" customFormat="true" ht="15.75" hidden="false" customHeight="false" outlineLevel="0" collapsed="false">
      <c r="A10" s="9" t="s">
        <v>31</v>
      </c>
      <c r="B10" s="14" t="s">
        <v>32</v>
      </c>
      <c r="C10" s="11" t="s">
        <v>10</v>
      </c>
      <c r="D10" s="11" t="s">
        <v>11</v>
      </c>
      <c r="E10" s="13" t="n">
        <f aca="false">IF(D10="Oui",
    IF(OR(D5="EURL", D5="EI", D5="SCS", D5="SNC"), 3,
    IF(OR(D5="SARL", D5="SASU", D5="SAS", D5="SCA"), 2,
    IF(D5="SA", 0, 0))),
IF(D10="Non", 30, 0))</f>
        <v>2</v>
      </c>
      <c r="F10" s="10" t="s">
        <v>61</v>
      </c>
    </row>
    <row r="11" s="10" customFormat="true" ht="15.75" hidden="false" customHeight="true" outlineLevel="0" collapsed="false">
      <c r="A11" s="9" t="s">
        <v>34</v>
      </c>
      <c r="B11" s="10" t="s">
        <v>35</v>
      </c>
      <c r="C11" s="11" t="s">
        <v>10</v>
      </c>
      <c r="D11" s="11" t="s">
        <v>11</v>
      </c>
      <c r="E11" s="10" t="n">
        <f aca="false">IF(D11="Oui", 0, IF(D11="Non", 5, 0))</f>
        <v>0</v>
      </c>
      <c r="F11" s="10" t="s">
        <v>62</v>
      </c>
    </row>
    <row r="12" s="10" customFormat="true" ht="15.75" hidden="false" customHeight="false" outlineLevel="0" collapsed="false">
      <c r="A12" s="10" t="s">
        <v>37</v>
      </c>
      <c r="B12" s="10" t="s">
        <v>38</v>
      </c>
      <c r="C12" s="11" t="s">
        <v>10</v>
      </c>
      <c r="D12" s="11" t="s">
        <v>11</v>
      </c>
      <c r="E12" s="14" t="n">
        <f aca="false">IF(D12="3 ans", 3,
IF(D12="moins de 1 an", 0,
IF(D12="2 ans", 2, 0)))</f>
        <v>0</v>
      </c>
      <c r="F12" s="10" t="s">
        <v>63</v>
      </c>
    </row>
    <row r="13" s="10" customFormat="true" ht="15.75" hidden="false" customHeight="true" outlineLevel="0" collapsed="false">
      <c r="A13" s="9" t="s">
        <v>41</v>
      </c>
      <c r="B13" s="10" t="s">
        <v>42</v>
      </c>
      <c r="C13" s="11" t="s">
        <v>10</v>
      </c>
      <c r="D13" s="11" t="s">
        <v>11</v>
      </c>
      <c r="E13" s="10" t="n">
        <f aca="false">IF(D13="Oui", 1, IF(D13="Non", 0, 0))</f>
        <v>1</v>
      </c>
      <c r="F13" s="10" t="s">
        <v>64</v>
      </c>
    </row>
    <row r="14" s="10" customFormat="true" ht="15" hidden="false" customHeight="true" outlineLevel="0" collapsed="false">
      <c r="A14" s="14" t="s">
        <v>44</v>
      </c>
      <c r="B14" s="10" t="s">
        <v>45</v>
      </c>
      <c r="C14" s="11" t="s">
        <v>10</v>
      </c>
      <c r="D14" s="11" t="s">
        <v>11</v>
      </c>
      <c r="E14" s="10" t="n">
        <f aca="false">IF(D13="Oui", 1, IF(D13="Non", 0, 0))</f>
        <v>1</v>
      </c>
      <c r="F14" s="10" t="s">
        <v>65</v>
      </c>
    </row>
    <row r="17" customFormat="false" ht="15.75" hidden="false" customHeight="false" outlineLevel="0" collapsed="false">
      <c r="A17" s="4"/>
      <c r="B17" s="3"/>
      <c r="C17" s="3"/>
      <c r="D17" s="8"/>
    </row>
    <row r="18" customFormat="false" ht="15.75" hidden="false" customHeight="true" outlineLevel="0" collapsed="false">
      <c r="A18" s="7"/>
      <c r="B18" s="3"/>
      <c r="C18" s="3"/>
      <c r="D18" s="8"/>
      <c r="G18" s="4" t="n">
        <f aca="false">SUM(E5:E14)</f>
        <v>7</v>
      </c>
      <c r="H18" s="4" t="str">
        <f aca="false">IF(G18&lt;=0, "Non défini",
   IF(G18&lt;=10, "Low",
   IF(G18&lt;=18, "Medium-Low",
   IF(G18&lt;=24, "Medium",
   IF(G18&lt;=30, "High", "Critique")))))</f>
        <v>Low</v>
      </c>
    </row>
    <row r="19" customFormat="false" ht="15.75" hidden="false" customHeight="true" outlineLevel="0" collapsed="false">
      <c r="A19" s="8"/>
      <c r="B19" s="3"/>
      <c r="C19" s="16"/>
      <c r="D19" s="4"/>
    </row>
    <row r="20" customFormat="false" ht="15.75" hidden="false" customHeight="true" outlineLevel="0" collapsed="false">
      <c r="A20" s="8"/>
      <c r="B20" s="3"/>
      <c r="C20" s="3"/>
      <c r="D20" s="8"/>
      <c r="I20" s="17" t="s">
        <v>47</v>
      </c>
    </row>
    <row r="21" customFormat="false" ht="15.75" hidden="false" customHeight="true" outlineLevel="0" collapsed="false">
      <c r="I21" s="18" t="s">
        <v>48</v>
      </c>
    </row>
    <row r="22" customFormat="false" ht="15.75" hidden="false" customHeight="true" outlineLevel="0" collapsed="false">
      <c r="I22" s="19" t="s">
        <v>49</v>
      </c>
    </row>
    <row r="23" customFormat="false" ht="15.75" hidden="false" customHeight="true" outlineLevel="0" collapsed="false">
      <c r="I23" s="20" t="s">
        <v>50</v>
      </c>
    </row>
    <row r="24" customFormat="false" ht="15.75" hidden="false" customHeight="true" outlineLevel="0" collapsed="false">
      <c r="I24" s="21" t="s">
        <v>51</v>
      </c>
    </row>
    <row r="29" customFormat="false" ht="15.75" hidden="false" customHeight="true" outlineLevel="0" collapsed="false">
      <c r="H29" s="3"/>
      <c r="I29" s="4"/>
    </row>
    <row r="30" customFormat="false" ht="12.75" hidden="false" customHeight="false" outlineLevel="0" collapsed="false">
      <c r="A30" s="4"/>
      <c r="B30" s="4"/>
      <c r="C30" s="3"/>
      <c r="D30" s="3"/>
      <c r="E30" s="8"/>
    </row>
    <row r="31" customFormat="false" ht="15.75" hidden="false" customHeight="true" outlineLevel="0" collapsed="false">
      <c r="A31" s="4"/>
      <c r="B31" s="7"/>
      <c r="C31" s="3"/>
      <c r="D31" s="3"/>
      <c r="E31" s="8"/>
    </row>
  </sheetData>
  <mergeCells count="1">
    <mergeCell ref="A1:E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C1" colorId="64" zoomScale="80" zoomScaleNormal="80" zoomScalePageLayoutView="100" workbookViewId="0">
      <selection pane="topLeft" activeCell="E7" activeCellId="0" sqref="E7"/>
    </sheetView>
  </sheetViews>
  <sheetFormatPr defaultColWidth="12.5625" defaultRowHeight="15.75" zeroHeight="false" outlineLevelRow="0" outlineLevelCol="0"/>
  <cols>
    <col collapsed="false" customWidth="true" hidden="false" outlineLevel="0" max="1" min="1" style="0" width="92.11"/>
    <col collapsed="false" customWidth="true" hidden="false" outlineLevel="0" max="2" min="2" style="0" width="255.78"/>
    <col collapsed="false" customWidth="true" hidden="false" outlineLevel="0" max="3" min="3" style="0" width="15.44"/>
    <col collapsed="false" customWidth="true" hidden="false" outlineLevel="0" max="4" min="4" style="0" width="25"/>
    <col collapsed="false" customWidth="true" hidden="false" outlineLevel="0" max="5" min="5" style="0" width="23.33"/>
    <col collapsed="false" customWidth="true" hidden="false" outlineLevel="0" max="6" min="6" style="0" width="14.11"/>
    <col collapsed="false" customWidth="true" hidden="false" outlineLevel="0" max="9" min="9" style="0" width="29.78"/>
    <col collapsed="false" customWidth="true" hidden="false" outlineLevel="0" max="10" min="10" style="0" width="25.88"/>
    <col collapsed="false" customWidth="true" hidden="false" outlineLevel="0" max="14" min="14" style="0" width="27.34"/>
  </cols>
  <sheetData>
    <row r="1" customFormat="false" ht="15.75" hidden="false" customHeight="true" outlineLevel="0" collapsed="false">
      <c r="A1" s="1" t="s">
        <v>66</v>
      </c>
      <c r="B1" s="1"/>
      <c r="C1" s="1"/>
      <c r="D1" s="1"/>
      <c r="E1" s="1"/>
    </row>
    <row r="2" customFormat="false" ht="15.75" hidden="false" customHeight="true" outlineLevel="0" collapsed="false">
      <c r="B2" s="2" t="s">
        <v>1</v>
      </c>
    </row>
    <row r="3" customFormat="false" ht="15.7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54</v>
      </c>
    </row>
    <row r="4" customFormat="false" ht="15.75" hidden="false" customHeight="false" outlineLevel="0" collapsed="false">
      <c r="A4" s="4" t="s">
        <v>8</v>
      </c>
      <c r="B4" s="4" t="s">
        <v>9</v>
      </c>
      <c r="C4" s="3" t="s">
        <v>10</v>
      </c>
      <c r="D4" s="3" t="s">
        <v>11</v>
      </c>
      <c r="E4" s="8" t="n">
        <f aca="false">IF(D4="Oui",0,IF(D4="Non",30,0))</f>
        <v>0</v>
      </c>
    </row>
    <row r="5" customFormat="false" ht="110" hidden="false" customHeight="false" outlineLevel="0" collapsed="false">
      <c r="A5" s="4" t="s">
        <v>13</v>
      </c>
      <c r="B5" s="7" t="s">
        <v>14</v>
      </c>
      <c r="C5" s="3" t="s">
        <v>10</v>
      </c>
      <c r="D5" s="3" t="s">
        <v>67</v>
      </c>
      <c r="E5" s="8" t="n">
        <f aca="false">IF(D5="SAS", 0,
IF(D5="SA", 1,
IF(D5="SASU", 1,
IF(D5="SARL", 2,
IF(D5="EURL", 3,
IF(D5="EI (Micro-entreprise)", 4,
IF(D5="EI", 4,
IF(D5="SCA (commanditaires)", 1,
IF(D5="SCA (commandités)", 4,
IF(D5="SCS (commanditaires)", 3,
IF(D5="SCS (commandités)", 4,
IF(D5="SNC", 4, 0))))))))))))</f>
        <v>1</v>
      </c>
    </row>
    <row r="6" customFormat="false" ht="58.6" hidden="false" customHeight="false" outlineLevel="0" collapsed="false">
      <c r="A6" s="4" t="s">
        <v>17</v>
      </c>
      <c r="B6" s="8" t="s">
        <v>18</v>
      </c>
      <c r="C6" s="3" t="s">
        <v>10</v>
      </c>
      <c r="D6" s="16" t="n">
        <v>1063592809.2</v>
      </c>
      <c r="E6" s="22" t="n">
        <v>1</v>
      </c>
    </row>
    <row r="7" customFormat="false" ht="68" hidden="false" customHeight="false" outlineLevel="0" collapsed="false">
      <c r="A7" s="4" t="s">
        <v>20</v>
      </c>
      <c r="B7" s="8" t="s">
        <v>21</v>
      </c>
      <c r="C7" s="3" t="s">
        <v>10</v>
      </c>
      <c r="D7" s="3" t="s">
        <v>22</v>
      </c>
      <c r="E7" s="8" t="n">
        <f aca="false">IF(D7="plus de 5 ans", 0,
IF(D7="entre 3 et 5 ans", 2,
IF(D7="entre 1 et 3 ans", 4,
IF(D7="moins de 1 an", 6,
IF(D7="domiciliation récente", 4, 0)))))</f>
        <v>0</v>
      </c>
    </row>
    <row r="8" s="10" customFormat="true" ht="15.75" hidden="false" customHeight="false" outlineLevel="0" collapsed="false">
      <c r="A8" s="9" t="s">
        <v>24</v>
      </c>
      <c r="B8" s="10" t="s">
        <v>25</v>
      </c>
      <c r="C8" s="11" t="s">
        <v>10</v>
      </c>
      <c r="D8" s="11" t="s">
        <v>22</v>
      </c>
      <c r="E8" s="14" t="n">
        <f aca="false">IF(D8="plus de 5 ans", 0,
IF(D8="entre 3 et 5 ans", 2,
IF(D8="entre 1 et 3 ans", 4,
IF(D8="moins de 1 an", 6,
IF(D8="domiciliation récente", 4, 0)))))</f>
        <v>0</v>
      </c>
    </row>
    <row r="9" s="10" customFormat="true" ht="15.75" hidden="false" customHeight="true" outlineLevel="0" collapsed="false">
      <c r="A9" s="9" t="s">
        <v>27</v>
      </c>
      <c r="B9" s="13" t="s">
        <v>28</v>
      </c>
      <c r="C9" s="11" t="s">
        <v>29</v>
      </c>
      <c r="D9" s="11" t="s">
        <v>11</v>
      </c>
      <c r="E9" s="10" t="n">
        <f aca="false">IF(D9="Oui", 1, IF(D9="Non", 30, 0))</f>
        <v>1</v>
      </c>
    </row>
    <row r="10" s="10" customFormat="true" ht="15.75" hidden="false" customHeight="false" outlineLevel="0" collapsed="false">
      <c r="A10" s="9" t="s">
        <v>31</v>
      </c>
      <c r="B10" s="14" t="s">
        <v>32</v>
      </c>
      <c r="C10" s="11" t="s">
        <v>10</v>
      </c>
      <c r="D10" s="11" t="s">
        <v>11</v>
      </c>
      <c r="E10" s="13" t="n">
        <f aca="false">IF(D10="Oui",
    IF(OR(D5="EURL", D5="EI", D5="SCS", D5="SNC"), 3,
    IF(OR(D5="SARL", D5="SASU", D5="SAS", D5="SCA"), 2,
    IF(D5="SA", 0, 0))),
IF(D10="Non", 30, 0))</f>
        <v>0</v>
      </c>
    </row>
    <row r="11" s="10" customFormat="true" ht="15.75" hidden="false" customHeight="true" outlineLevel="0" collapsed="false">
      <c r="A11" s="9" t="s">
        <v>34</v>
      </c>
      <c r="B11" s="10" t="s">
        <v>35</v>
      </c>
      <c r="C11" s="11" t="s">
        <v>10</v>
      </c>
      <c r="D11" s="11" t="s">
        <v>11</v>
      </c>
      <c r="E11" s="10" t="n">
        <f aca="false">IF(D11="Oui", 0, IF(D11="Non", 5, 0))</f>
        <v>0</v>
      </c>
    </row>
    <row r="12" s="10" customFormat="true" ht="15.75" hidden="false" customHeight="false" outlineLevel="0" collapsed="false">
      <c r="A12" s="10" t="s">
        <v>37</v>
      </c>
      <c r="B12" s="10" t="s">
        <v>38</v>
      </c>
      <c r="C12" s="11" t="s">
        <v>10</v>
      </c>
      <c r="D12" s="11" t="s">
        <v>11</v>
      </c>
      <c r="E12" s="14" t="n">
        <f aca="false">IF(D12="3 ans", 3,
IF(D12="moins de 1 an", 0,
IF(D12="2 ans", 2, 0)))</f>
        <v>0</v>
      </c>
    </row>
    <row r="13" s="10" customFormat="true" ht="15.75" hidden="false" customHeight="true" outlineLevel="0" collapsed="false">
      <c r="A13" s="9" t="s">
        <v>41</v>
      </c>
      <c r="B13" s="10" t="s">
        <v>42</v>
      </c>
      <c r="C13" s="11" t="s">
        <v>10</v>
      </c>
      <c r="D13" s="11" t="s">
        <v>39</v>
      </c>
      <c r="E13" s="10" t="n">
        <f aca="false">IF(D13="Oui", 1, IF(D13="Non", 0, 0))</f>
        <v>0</v>
      </c>
    </row>
    <row r="14" s="10" customFormat="true" ht="15" hidden="false" customHeight="true" outlineLevel="0" collapsed="false">
      <c r="A14" s="14" t="s">
        <v>44</v>
      </c>
      <c r="B14" s="10" t="s">
        <v>45</v>
      </c>
      <c r="C14" s="11" t="s">
        <v>10</v>
      </c>
      <c r="D14" s="11" t="s">
        <v>39</v>
      </c>
      <c r="E14" s="10" t="n">
        <f aca="false">IF(D13="Oui", 1, IF(D13="Non", 0, 0))</f>
        <v>0</v>
      </c>
    </row>
    <row r="17" customFormat="false" ht="15.75" hidden="false" customHeight="false" outlineLevel="0" collapsed="false">
      <c r="A17" s="4"/>
      <c r="B17" s="3"/>
      <c r="C17" s="3"/>
      <c r="D17" s="8"/>
    </row>
    <row r="18" customFormat="false" ht="15.75" hidden="false" customHeight="true" outlineLevel="0" collapsed="false">
      <c r="A18" s="7"/>
      <c r="B18" s="3"/>
      <c r="C18" s="3"/>
      <c r="D18" s="8"/>
      <c r="G18" s="4" t="n">
        <f aca="false">SUM(E5:E14)</f>
        <v>3</v>
      </c>
      <c r="H18" s="4" t="str">
        <f aca="false">IF(G18&lt;=0, "Non défini",
   IF(G18&lt;=10, "Low",
   IF(G18&lt;=18, "Medium-Low",
   IF(G18&lt;=24, "Medium",
   IF(G18&lt;=30, "High", "Critique")))))</f>
        <v>Low</v>
      </c>
    </row>
    <row r="19" customFormat="false" ht="15.75" hidden="false" customHeight="true" outlineLevel="0" collapsed="false">
      <c r="A19" s="8"/>
      <c r="B19" s="3"/>
      <c r="C19" s="16"/>
      <c r="D19" s="4"/>
    </row>
    <row r="20" customFormat="false" ht="15.75" hidden="false" customHeight="true" outlineLevel="0" collapsed="false">
      <c r="A20" s="8"/>
      <c r="B20" s="3"/>
      <c r="C20" s="3"/>
      <c r="D20" s="8"/>
      <c r="I20" s="23"/>
    </row>
    <row r="21" customFormat="false" ht="15.75" hidden="false" customHeight="true" outlineLevel="0" collapsed="false">
      <c r="I21" s="17" t="s">
        <v>47</v>
      </c>
    </row>
    <row r="22" customFormat="false" ht="15.75" hidden="false" customHeight="true" outlineLevel="0" collapsed="false">
      <c r="I22" s="19" t="s">
        <v>49</v>
      </c>
    </row>
    <row r="23" customFormat="false" ht="15.75" hidden="false" customHeight="true" outlineLevel="0" collapsed="false">
      <c r="I23" s="20" t="s">
        <v>50</v>
      </c>
    </row>
    <row r="24" customFormat="false" ht="15.75" hidden="false" customHeight="true" outlineLevel="0" collapsed="false">
      <c r="I24" s="21" t="s">
        <v>51</v>
      </c>
    </row>
    <row r="29" customFormat="false" ht="15.75" hidden="false" customHeight="true" outlineLevel="0" collapsed="false">
      <c r="H29" s="3"/>
      <c r="I29" s="4"/>
    </row>
    <row r="30" customFormat="false" ht="12.75" hidden="false" customHeight="false" outlineLevel="0" collapsed="false">
      <c r="A30" s="4"/>
      <c r="B30" s="4"/>
      <c r="C30" s="3"/>
      <c r="D30" s="3"/>
      <c r="E30" s="8"/>
    </row>
    <row r="31" customFormat="false" ht="15.75" hidden="false" customHeight="true" outlineLevel="0" collapsed="false">
      <c r="A31" s="4"/>
      <c r="B31" s="7"/>
      <c r="C31" s="3"/>
      <c r="D31" s="3"/>
      <c r="E31" s="8"/>
    </row>
  </sheetData>
  <mergeCells count="1">
    <mergeCell ref="A1:E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F6" activeCellId="0" sqref="F6"/>
    </sheetView>
  </sheetViews>
  <sheetFormatPr defaultColWidth="12.5625" defaultRowHeight="15.75" zeroHeight="false" outlineLevelRow="0" outlineLevelCol="0"/>
  <cols>
    <col collapsed="false" customWidth="true" hidden="false" outlineLevel="0" max="1" min="1" style="0" width="92.11"/>
    <col collapsed="false" customWidth="true" hidden="false" outlineLevel="0" max="2" min="2" style="0" width="255.78"/>
    <col collapsed="false" customWidth="true" hidden="false" outlineLevel="0" max="3" min="3" style="0" width="15.44"/>
    <col collapsed="false" customWidth="true" hidden="false" outlineLevel="0" max="4" min="4" style="0" width="25"/>
    <col collapsed="false" customWidth="true" hidden="false" outlineLevel="0" max="5" min="5" style="0" width="23.33"/>
    <col collapsed="false" customWidth="true" hidden="false" outlineLevel="0" max="6" min="6" style="0" width="14.11"/>
    <col collapsed="false" customWidth="true" hidden="false" outlineLevel="0" max="9" min="9" style="0" width="29.78"/>
    <col collapsed="false" customWidth="true" hidden="false" outlineLevel="0" max="10" min="10" style="0" width="25.88"/>
    <col collapsed="false" customWidth="true" hidden="false" outlineLevel="0" max="14" min="14" style="0" width="27.34"/>
  </cols>
  <sheetData>
    <row r="1" customFormat="false" ht="15.75" hidden="false" customHeight="true" outlineLevel="0" collapsed="false">
      <c r="A1" s="1" t="s">
        <v>68</v>
      </c>
      <c r="B1" s="1"/>
      <c r="C1" s="1"/>
      <c r="D1" s="1"/>
      <c r="E1" s="1"/>
    </row>
    <row r="2" customFormat="false" ht="15.75" hidden="false" customHeight="true" outlineLevel="0" collapsed="false">
      <c r="B2" s="2" t="s">
        <v>1</v>
      </c>
    </row>
    <row r="3" customFormat="false" ht="15.7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</row>
    <row r="4" customFormat="false" ht="15.75" hidden="false" customHeight="false" outlineLevel="0" collapsed="false">
      <c r="A4" s="4" t="s">
        <v>8</v>
      </c>
      <c r="B4" s="4" t="s">
        <v>9</v>
      </c>
      <c r="C4" s="3" t="s">
        <v>10</v>
      </c>
      <c r="D4" s="3" t="s">
        <v>11</v>
      </c>
      <c r="E4" s="8" t="n">
        <f aca="false">IF(D4="Oui",0,IF(D4="Non",30,0))</f>
        <v>0</v>
      </c>
      <c r="F4" s="6" t="s">
        <v>69</v>
      </c>
    </row>
    <row r="5" customFormat="false" ht="110" hidden="false" customHeight="false" outlineLevel="0" collapsed="false">
      <c r="A5" s="4" t="s">
        <v>13</v>
      </c>
      <c r="B5" s="7" t="s">
        <v>14</v>
      </c>
      <c r="C5" s="3" t="s">
        <v>10</v>
      </c>
      <c r="D5" s="3" t="s">
        <v>56</v>
      </c>
      <c r="E5" s="8" t="n">
        <f aca="false">IF(D5="SAS", 0,
IF(D5="SA", 1,
IF(D5="SASU", 1,
IF(D5="SARL", 2,
IF(D5="EURL", 3,
IF(D5="EI (Micro-entreprise)", 4,
IF(D5="EI", 4,
IF(D5="SCA (commanditaires)", 1,
IF(D5="SCA (commandités)", 4,
IF(D5="SCS (commanditaires)", 3,
IF(D5="SCS (commandités)", 4,
IF(D5="SNC", 4, 0))))))))))))</f>
        <v>2</v>
      </c>
      <c r="F5" s="6" t="s">
        <v>70</v>
      </c>
    </row>
    <row r="6" customFormat="false" ht="57" hidden="false" customHeight="false" outlineLevel="0" collapsed="false">
      <c r="A6" s="4" t="s">
        <v>17</v>
      </c>
      <c r="B6" s="8" t="s">
        <v>18</v>
      </c>
      <c r="C6" s="3" t="s">
        <v>10</v>
      </c>
      <c r="D6" s="24" t="n">
        <v>7500</v>
      </c>
      <c r="E6" s="4" t="n">
        <f aca="false">IFERROR(
    IF(D6&lt;10000, 4,
    IF(D6&lt;=50000, 3,
    IF(D6&lt;=200000, 2,
    IF(D6&lt;=500000, 1, 0)))), 0)</f>
        <v>4</v>
      </c>
      <c r="F6" s="6" t="s">
        <v>19</v>
      </c>
    </row>
    <row r="7" customFormat="false" ht="68" hidden="false" customHeight="false" outlineLevel="0" collapsed="false">
      <c r="A7" s="4" t="s">
        <v>20</v>
      </c>
      <c r="B7" s="8" t="s">
        <v>21</v>
      </c>
      <c r="C7" s="3" t="s">
        <v>10</v>
      </c>
      <c r="D7" s="3" t="s">
        <v>22</v>
      </c>
      <c r="E7" s="8" t="n">
        <f aca="false">IF(D7="plus de 5 ans", 0,
IF(D7="entre 3 et 5 ans", 2,
IF(D7="entre 1 et 3 ans", 4,
IF(D7="moins de 1 an", 6,
IF(D7="domiciliation récente", 4, 0)))))</f>
        <v>0</v>
      </c>
      <c r="F7" s="6" t="s">
        <v>71</v>
      </c>
    </row>
    <row r="8" s="10" customFormat="true" ht="15.75" hidden="false" customHeight="false" outlineLevel="0" collapsed="false">
      <c r="A8" s="9" t="s">
        <v>24</v>
      </c>
      <c r="B8" s="10" t="s">
        <v>25</v>
      </c>
      <c r="C8" s="11" t="s">
        <v>10</v>
      </c>
      <c r="D8" s="11" t="s">
        <v>22</v>
      </c>
      <c r="E8" s="14" t="n">
        <f aca="false">IF(D8="plus de 5 ans", 0,
IF(D8="entre 3 et 5 ans", 2,
IF(D8="entre 1 et 3 ans", 4,
IF(D8="moins de 1 an", 6,
IF(D8="domiciliation récente", 4, 0)))))</f>
        <v>0</v>
      </c>
      <c r="F8" s="10" t="s">
        <v>72</v>
      </c>
    </row>
    <row r="9" s="10" customFormat="true" ht="15.75" hidden="false" customHeight="true" outlineLevel="0" collapsed="false">
      <c r="A9" s="9" t="s">
        <v>27</v>
      </c>
      <c r="B9" s="13" t="s">
        <v>28</v>
      </c>
      <c r="C9" s="11" t="s">
        <v>29</v>
      </c>
      <c r="D9" s="11" t="s">
        <v>39</v>
      </c>
      <c r="E9" s="10" t="n">
        <f aca="false">IF(D9="Oui", 1, IF(D9="Non", 30, 0))</f>
        <v>30</v>
      </c>
      <c r="F9" s="10" t="s">
        <v>73</v>
      </c>
    </row>
    <row r="10" s="10" customFormat="true" ht="15.75" hidden="false" customHeight="false" outlineLevel="0" collapsed="false">
      <c r="A10" s="9" t="s">
        <v>31</v>
      </c>
      <c r="B10" s="14" t="s">
        <v>32</v>
      </c>
      <c r="C10" s="11" t="s">
        <v>10</v>
      </c>
      <c r="D10" s="11" t="s">
        <v>39</v>
      </c>
      <c r="E10" s="13" t="n">
        <f aca="false">IF(D10="Oui",
    IF(OR(D5="EURL", D5="EI", D5="SCS", D5="SNC"), 3,
    IF(OR(D5="SARL", D5="SASU", D5="SAS", D5="SCA"), 2,
    IF(D5="SA", 0, 0))),
IF(D10="Non", 30, 0))</f>
        <v>30</v>
      </c>
      <c r="F10" s="10" t="s">
        <v>74</v>
      </c>
    </row>
    <row r="11" s="10" customFormat="true" ht="15.75" hidden="false" customHeight="true" outlineLevel="0" collapsed="false">
      <c r="A11" s="9" t="s">
        <v>34</v>
      </c>
      <c r="B11" s="10" t="s">
        <v>35</v>
      </c>
      <c r="C11" s="11" t="s">
        <v>10</v>
      </c>
      <c r="D11" s="11" t="s">
        <v>11</v>
      </c>
      <c r="E11" s="10" t="n">
        <f aca="false">IF(D11="Oui", 0, IF(D11="Non", 5, 0))</f>
        <v>0</v>
      </c>
      <c r="F11" s="10" t="s">
        <v>75</v>
      </c>
    </row>
    <row r="12" s="10" customFormat="true" ht="15.75" hidden="false" customHeight="false" outlineLevel="0" collapsed="false">
      <c r="A12" s="10" t="s">
        <v>37</v>
      </c>
      <c r="B12" s="10" t="s">
        <v>38</v>
      </c>
      <c r="C12" s="11" t="s">
        <v>10</v>
      </c>
      <c r="D12" s="11" t="s">
        <v>11</v>
      </c>
      <c r="E12" s="14" t="n">
        <f aca="false">IF(D12="3 ans", 3,
IF(D12="moins de 1 an", 0,
IF(D12="2 ans", 2, 0)))</f>
        <v>0</v>
      </c>
      <c r="F12" s="10" t="s">
        <v>76</v>
      </c>
    </row>
    <row r="13" s="10" customFormat="true" ht="15.75" hidden="false" customHeight="true" outlineLevel="0" collapsed="false">
      <c r="A13" s="9" t="s">
        <v>41</v>
      </c>
      <c r="B13" s="10" t="s">
        <v>42</v>
      </c>
      <c r="C13" s="11" t="s">
        <v>10</v>
      </c>
      <c r="D13" s="11" t="s">
        <v>39</v>
      </c>
      <c r="E13" s="10" t="n">
        <f aca="false">IF(D13="Oui", 1, IF(D13="Non", 0, 0))</f>
        <v>0</v>
      </c>
      <c r="F13" s="10" t="s">
        <v>77</v>
      </c>
    </row>
    <row r="14" s="10" customFormat="true" ht="15" hidden="false" customHeight="true" outlineLevel="0" collapsed="false">
      <c r="A14" s="14" t="s">
        <v>44</v>
      </c>
      <c r="B14" s="10" t="s">
        <v>45</v>
      </c>
      <c r="C14" s="11" t="s">
        <v>10</v>
      </c>
      <c r="D14" s="11" t="s">
        <v>39</v>
      </c>
      <c r="E14" s="10" t="n">
        <f aca="false">IF(D13="Oui", 1, IF(D13="Non", 0, 0))</f>
        <v>0</v>
      </c>
      <c r="F14" s="10" t="s">
        <v>78</v>
      </c>
    </row>
    <row r="17" customFormat="false" ht="15.75" hidden="false" customHeight="false" outlineLevel="0" collapsed="false">
      <c r="A17" s="4"/>
      <c r="B17" s="3"/>
      <c r="C17" s="3"/>
      <c r="D17" s="8"/>
    </row>
    <row r="18" customFormat="false" ht="15.75" hidden="false" customHeight="true" outlineLevel="0" collapsed="false">
      <c r="A18" s="7"/>
      <c r="B18" s="3"/>
      <c r="C18" s="3"/>
      <c r="D18" s="8"/>
      <c r="G18" s="4" t="n">
        <f aca="false">SUM(E5:E14)</f>
        <v>66</v>
      </c>
      <c r="H18" s="4" t="str">
        <f aca="false">IF(G18&lt;=0, "Non défini",
   IF(G18&lt;=10, "Low",
   IF(G18&lt;=18, "Medium-Low",
   IF(G18&lt;=24, "Medium",
   IF(G18&lt;=30, "High", "Critique")))))</f>
        <v>Critique</v>
      </c>
    </row>
    <row r="19" customFormat="false" ht="15.75" hidden="false" customHeight="true" outlineLevel="0" collapsed="false">
      <c r="A19" s="8"/>
      <c r="B19" s="3"/>
      <c r="C19" s="16"/>
      <c r="D19" s="4"/>
    </row>
    <row r="20" customFormat="false" ht="15.75" hidden="false" customHeight="true" outlineLevel="0" collapsed="false">
      <c r="A20" s="8"/>
      <c r="B20" s="3"/>
      <c r="C20" s="3"/>
      <c r="D20" s="8"/>
      <c r="I20" s="17" t="s">
        <v>47</v>
      </c>
    </row>
    <row r="21" customFormat="false" ht="15.75" hidden="false" customHeight="true" outlineLevel="0" collapsed="false">
      <c r="I21" s="18" t="s">
        <v>48</v>
      </c>
    </row>
    <row r="22" customFormat="false" ht="15.75" hidden="false" customHeight="true" outlineLevel="0" collapsed="false">
      <c r="I22" s="19" t="s">
        <v>49</v>
      </c>
    </row>
    <row r="23" customFormat="false" ht="15.75" hidden="false" customHeight="true" outlineLevel="0" collapsed="false">
      <c r="I23" s="20" t="s">
        <v>50</v>
      </c>
    </row>
    <row r="24" customFormat="false" ht="15.75" hidden="false" customHeight="true" outlineLevel="0" collapsed="false">
      <c r="I24" s="21" t="s">
        <v>51</v>
      </c>
    </row>
    <row r="29" customFormat="false" ht="15.75" hidden="false" customHeight="true" outlineLevel="0" collapsed="false">
      <c r="H29" s="3"/>
      <c r="I29" s="4"/>
    </row>
    <row r="30" customFormat="false" ht="12.75" hidden="false" customHeight="false" outlineLevel="0" collapsed="false">
      <c r="A30" s="4"/>
      <c r="B30" s="4"/>
      <c r="C30" s="3"/>
      <c r="D30" s="3"/>
      <c r="E30" s="8"/>
    </row>
    <row r="31" customFormat="false" ht="15.75" hidden="false" customHeight="true" outlineLevel="0" collapsed="false">
      <c r="A31" s="4"/>
      <c r="B31" s="7"/>
      <c r="C31" s="3"/>
      <c r="D31" s="3"/>
      <c r="E31" s="8"/>
    </row>
  </sheetData>
  <mergeCells count="1">
    <mergeCell ref="A1:E1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6439B4306D04F941ECE0AE3B4A513" ma:contentTypeVersion="5" ma:contentTypeDescription="Crée un document." ma:contentTypeScope="" ma:versionID="5310295babba992dca40ef31fb7dabfe">
  <xsd:schema xmlns:xsd="http://www.w3.org/2001/XMLSchema" xmlns:xs="http://www.w3.org/2001/XMLSchema" xmlns:p="http://schemas.microsoft.com/office/2006/metadata/properties" xmlns:ns3="334964cd-1282-4f33-aa1a-6d760b830749" targetNamespace="http://schemas.microsoft.com/office/2006/metadata/properties" ma:root="true" ma:fieldsID="489f54a994b9bf20519826b6e918d3b2" ns3:_="">
    <xsd:import namespace="334964cd-1282-4f33-aa1a-6d760b8307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964cd-1282-4f33-aa1a-6d760b8307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7D8474-B950-4696-86FA-D492650633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81B715-8B6B-4384-95D9-07A176F355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4964cd-1282-4f33-aa1a-6d760b8307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3CEE6E-4D3D-4E07-953C-A972623F1700}">
  <ds:schemaRefs>
    <ds:schemaRef ds:uri="http://purl.org/dc/dcmitype/"/>
    <ds:schemaRef ds:uri="334964cd-1282-4f33-aa1a-6d760b830749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2025-05-07T06:53:03Z</dcterms:created>
  <dc:creator>Caner gul</dc:creator>
  <dc:description/>
  <dc:language>fr-FR</dc:language>
  <cp:lastModifiedBy/>
  <dcterms:modified xsi:type="dcterms:W3CDTF">2025-06-11T19:38:04Z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0x010100CEB6439B4306D04F941ECE0AE3B4A513</vt:lpwstr>
  </property>
</Properties>
</file>